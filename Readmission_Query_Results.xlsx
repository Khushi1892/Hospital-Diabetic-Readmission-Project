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mya\Downloads\"/>
    </mc:Choice>
  </mc:AlternateContent>
  <xr:revisionPtr revIDLastSave="0" documentId="13_ncr:1_{89BADAAA-D517-41ED-8BB4-B33EF44F736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6" r:id="rId1"/>
    <sheet name="Excel Analysis" sheetId="7" r:id="rId2"/>
    <sheet name="Q1_Overall" sheetId="1" r:id="rId3"/>
    <sheet name="Q2_By_Age" sheetId="2" r:id="rId4"/>
    <sheet name="Q3_By_Medication" sheetId="3" r:id="rId5"/>
    <sheet name="Q4_By_Stay_Duration" sheetId="4" r:id="rId6"/>
    <sheet name="Q5_By_Lab_Procedures" sheetId="5" r:id="rId7"/>
  </sheets>
  <calcPr calcId="191029"/>
  <pivotCaches>
    <pivotCache cacheId="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7" l="1"/>
  <c r="C14" i="7"/>
  <c r="C13" i="7"/>
  <c r="E11" i="7"/>
  <c r="E3" i="7"/>
  <c r="E4" i="7"/>
  <c r="E5" i="7"/>
  <c r="E6" i="7"/>
  <c r="E7" i="7"/>
  <c r="E8" i="7"/>
  <c r="E9" i="7"/>
  <c r="E10" i="7"/>
  <c r="E2" i="7"/>
</calcChain>
</file>

<file path=xl/sharedStrings.xml><?xml version="1.0" encoding="utf-8"?>
<sst xmlns="http://schemas.openxmlformats.org/spreadsheetml/2006/main" count="72" uniqueCount="42">
  <si>
    <t>readmitted</t>
  </si>
  <si>
    <t>count</t>
  </si>
  <si>
    <t>percentage</t>
  </si>
  <si>
    <t>NO</t>
  </si>
  <si>
    <t>&gt;30</t>
  </si>
  <si>
    <t>&lt;30</t>
  </si>
  <si>
    <t>age</t>
  </si>
  <si>
    <t>total_patients</t>
  </si>
  <si>
    <t>early_readmissions</t>
  </si>
  <si>
    <t>early_readmission_rate</t>
  </si>
  <si>
    <t>[0-10)</t>
  </si>
  <si>
    <t>[10-20)</t>
  </si>
  <si>
    <t>[20-30)</t>
  </si>
  <si>
    <t>[30-40)</t>
  </si>
  <si>
    <t>[40-50)</t>
  </si>
  <si>
    <t>[50-60)</t>
  </si>
  <si>
    <t>[60-70)</t>
  </si>
  <si>
    <t>[70-80)</t>
  </si>
  <si>
    <t>[80-90)</t>
  </si>
  <si>
    <t>[90-100)</t>
  </si>
  <si>
    <t>medication_bucket</t>
  </si>
  <si>
    <t>Low (1-10)</t>
  </si>
  <si>
    <t>Medium (11-20)</t>
  </si>
  <si>
    <t>High (20+)</t>
  </si>
  <si>
    <t>time_in_hospital</t>
  </si>
  <si>
    <t>lab_bucket</t>
  </si>
  <si>
    <t>Low (1-20)</t>
  </si>
  <si>
    <t>Medium (21-50)</t>
  </si>
  <si>
    <t>High (50+)</t>
  </si>
  <si>
    <t>Hospital Readmission Analysis Dashboard</t>
  </si>
  <si>
    <t>Total Patients</t>
  </si>
  <si>
    <t>Early Readmission Rate</t>
  </si>
  <si>
    <t>Overall Readmission Rate</t>
  </si>
  <si>
    <r>
      <rPr>
        <b/>
        <u/>
        <sz val="12"/>
        <color theme="1"/>
        <rFont val="Calibri"/>
        <family val="2"/>
        <scheme val="minor"/>
      </rPr>
      <t>Key Insights</t>
    </r>
    <r>
      <rPr>
        <sz val="12"/>
        <color theme="1"/>
        <rFont val="Calibri"/>
        <family val="2"/>
        <scheme val="minor"/>
      </rPr>
      <t xml:space="preserve">
- Age [20-30) has the highest early 
  readmission rate at 14.24%
- Patients on 20+ medications show 
  41% higher readmission vs low-
  medication patients (12.78% vs 9.06%)
- Longer stays (8-10 days) show ~75% 
  higher readmission than 1-day stays
- 11.16% of patients are readmitted 
  within 30 days - a critical 
  clinical risk signal</t>
    </r>
  </si>
  <si>
    <t>Row Labels</t>
  </si>
  <si>
    <t>Grand Total</t>
  </si>
  <si>
    <t>Sum of total_patients</t>
  </si>
  <si>
    <t>Sum of early_readmission_rate</t>
  </si>
  <si>
    <t>Risk Flag</t>
  </si>
  <si>
    <t>Highest Risk Age</t>
  </si>
  <si>
    <t>Count of High Risk</t>
  </si>
  <si>
    <t>Avg Readmission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</si>
</sst>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1"/>
      <name val="Arial Unicode MS"/>
    </font>
    <font>
      <b/>
      <i/>
      <u/>
      <sz val="20"/>
      <color theme="2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/>
    <xf numFmtId="0" fontId="4" fillId="0" borderId="0" xfId="0" applyFont="1"/>
    <xf numFmtId="3" fontId="5" fillId="2" borderId="0" xfId="0" applyNumberFormat="1" applyFont="1" applyFill="1" applyAlignment="1">
      <alignment horizontal="center"/>
    </xf>
    <xf numFmtId="0" fontId="5" fillId="0" borderId="0" xfId="0" applyFont="1"/>
    <xf numFmtId="10" fontId="6" fillId="2" borderId="0" xfId="0" applyNumberFormat="1" applyFont="1" applyFill="1" applyAlignment="1">
      <alignment horizontal="center"/>
    </xf>
    <xf numFmtId="10" fontId="6" fillId="3" borderId="0" xfId="0" applyNumberFormat="1" applyFont="1" applyFill="1" applyAlignment="1"/>
    <xf numFmtId="10" fontId="5" fillId="2" borderId="0" xfId="0" applyNumberFormat="1" applyFont="1" applyFill="1" applyAlignment="1">
      <alignment horizontal="center"/>
    </xf>
    <xf numFmtId="0" fontId="0" fillId="4" borderId="0" xfId="0" applyFill="1"/>
    <xf numFmtId="0" fontId="3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cap="all" spc="50" baseline="0"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rgbClr val="1F497D"/>
                </a:solidFill>
                <a:latin typeface="+mn-lt"/>
                <a:ea typeface="+mn-ea"/>
                <a:cs typeface="+mn-cs"/>
              </a:rPr>
              <a:t>Readmission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cap="all" spc="50" baseline="0"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Q1_Overall!$B$1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AFA-47F4-8095-6933ABC3F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AFA-47F4-8095-6933ABC3F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AFA-47F4-8095-6933ABC3F6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Q1_Overall!$A$2:$A$4</c:f>
              <c:strCache>
                <c:ptCount val="3"/>
                <c:pt idx="0">
                  <c:v>NO</c:v>
                </c:pt>
                <c:pt idx="1">
                  <c:v>&gt;30</c:v>
                </c:pt>
                <c:pt idx="2">
                  <c:v>&lt;30</c:v>
                </c:pt>
              </c:strCache>
            </c:strRef>
          </c:cat>
          <c:val>
            <c:numRef>
              <c:f>Q1_Overall!$B$2:$B$4</c:f>
              <c:numCache>
                <c:formatCode>General</c:formatCode>
                <c:ptCount val="3"/>
                <c:pt idx="0">
                  <c:v>54864</c:v>
                </c:pt>
                <c:pt idx="1">
                  <c:v>35545</c:v>
                </c:pt>
                <c:pt idx="2">
                  <c:v>11357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FA-47F4-8095-6933ABC3F63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cap="all" spc="50" baseline="0"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spc="50" baseline="0">
                <a:solidFill>
                  <a:srgbClr val="1F497D"/>
                </a:solidFill>
                <a:latin typeface="+mn-lt"/>
                <a:ea typeface="+mn-ea"/>
                <a:cs typeface="+mn-cs"/>
              </a:rPr>
              <a:t>Early Readmission Rate by Age Group</a:t>
            </a:r>
          </a:p>
        </c:rich>
      </c:tx>
      <c:layout>
        <c:manualLayout>
          <c:xMode val="edge"/>
          <c:yMode val="edge"/>
          <c:x val="0.10466045502546678"/>
          <c:y val="2.420824427325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cap="all" spc="50" baseline="0"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Q2_By_Age!$D$1</c:f>
              <c:strCache>
                <c:ptCount val="1"/>
                <c:pt idx="0">
                  <c:v>early_readmission_rate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Q2_By_Age!$A$2:$A$11</c:f>
              <c:strCache>
                <c:ptCount val="10"/>
                <c:pt idx="0">
                  <c:v>[0-10)</c:v>
                </c:pt>
                <c:pt idx="1">
                  <c:v>[10-20)</c:v>
                </c:pt>
                <c:pt idx="2">
                  <c:v>[20-30)</c:v>
                </c:pt>
                <c:pt idx="3">
                  <c:v>[30-40)</c:v>
                </c:pt>
                <c:pt idx="4">
                  <c:v>[40-50)</c:v>
                </c:pt>
                <c:pt idx="5">
                  <c:v>[50-60)</c:v>
                </c:pt>
                <c:pt idx="6">
                  <c:v>[60-70)</c:v>
                </c:pt>
                <c:pt idx="7">
                  <c:v>[70-80)</c:v>
                </c:pt>
                <c:pt idx="8">
                  <c:v>[80-90)</c:v>
                </c:pt>
                <c:pt idx="9">
                  <c:v>[90-100)</c:v>
                </c:pt>
              </c:strCache>
            </c:strRef>
          </c:cat>
          <c:val>
            <c:numRef>
              <c:f>Q2_By_Age!$D$2:$D$11</c:f>
              <c:numCache>
                <c:formatCode>General</c:formatCode>
                <c:ptCount val="10"/>
                <c:pt idx="0">
                  <c:v>1.86</c:v>
                </c:pt>
                <c:pt idx="1">
                  <c:v>5.79</c:v>
                </c:pt>
                <c:pt idx="2">
                  <c:v>14.24</c:v>
                </c:pt>
                <c:pt idx="3">
                  <c:v>11.23</c:v>
                </c:pt>
                <c:pt idx="4">
                  <c:v>10.6</c:v>
                </c:pt>
                <c:pt idx="5">
                  <c:v>9.67</c:v>
                </c:pt>
                <c:pt idx="6">
                  <c:v>11.13</c:v>
                </c:pt>
                <c:pt idx="7">
                  <c:v>11.77</c:v>
                </c:pt>
                <c:pt idx="8">
                  <c:v>12.08</c:v>
                </c:pt>
                <c:pt idx="9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5-4747-B110-268C9E8FF4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28218560"/>
        <c:axId val="928215200"/>
      </c:barChart>
      <c:catAx>
        <c:axId val="92821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15200"/>
        <c:crosses val="autoZero"/>
        <c:auto val="1"/>
        <c:lblAlgn val="ctr"/>
        <c:lblOffset val="100"/>
        <c:noMultiLvlLbl val="0"/>
      </c:catAx>
      <c:valAx>
        <c:axId val="92821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1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cap="all" spc="50" baseline="0">
                <a:ln>
                  <a:noFill/>
                </a:ln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spc="50" baseline="0">
                <a:solidFill>
                  <a:srgbClr val="1F497D"/>
                </a:solidFill>
                <a:latin typeface="+mn-lt"/>
                <a:ea typeface="+mn-ea"/>
                <a:cs typeface="+mn-cs"/>
              </a:rPr>
              <a:t>Readmission Rate by Medication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cap="all" spc="50" baseline="0">
              <a:ln>
                <a:noFill/>
              </a:ln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Q3_By_Medication!$C$1</c:f>
              <c:strCache>
                <c:ptCount val="1"/>
                <c:pt idx="0">
                  <c:v>early_readmission_rate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Q3_By_Medication!$A$2:$A$4</c:f>
              <c:strCache>
                <c:ptCount val="3"/>
                <c:pt idx="0">
                  <c:v>Low (1-10)</c:v>
                </c:pt>
                <c:pt idx="1">
                  <c:v>Medium (11-20)</c:v>
                </c:pt>
                <c:pt idx="2">
                  <c:v>High (20+)</c:v>
                </c:pt>
              </c:strCache>
            </c:strRef>
          </c:cat>
          <c:val>
            <c:numRef>
              <c:f>Q3_By_Medication!$C$2:$C$4</c:f>
              <c:numCache>
                <c:formatCode>General</c:formatCode>
                <c:ptCount val="3"/>
                <c:pt idx="0">
                  <c:v>9.06</c:v>
                </c:pt>
                <c:pt idx="1">
                  <c:v>11.46</c:v>
                </c:pt>
                <c:pt idx="2">
                  <c:v>12.78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A-4508-91EB-6EE2C3163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28233440"/>
        <c:axId val="928257440"/>
      </c:barChart>
      <c:catAx>
        <c:axId val="92823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57440"/>
        <c:crosses val="autoZero"/>
        <c:auto val="1"/>
        <c:lblAlgn val="ctr"/>
        <c:lblOffset val="100"/>
        <c:noMultiLvlLbl val="0"/>
      </c:catAx>
      <c:valAx>
        <c:axId val="92825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3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cap="all" spc="50" baseline="0">
                <a:ln>
                  <a:noFill/>
                </a:ln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spc="50" baseline="0">
                <a:ln>
                  <a:noFill/>
                </a:ln>
                <a:solidFill>
                  <a:srgbClr val="1F497D"/>
                </a:solidFill>
                <a:latin typeface="+mn-lt"/>
                <a:ea typeface="+mn-ea"/>
                <a:cs typeface="+mn-cs"/>
              </a:rPr>
              <a:t>Readmission Rate </a:t>
            </a:r>
          </a:p>
          <a:p>
            <a:pPr algn="ctr" rtl="0">
              <a:defRPr lang="en-US" sz="1600" b="1" i="0" u="none" strike="noStrike" kern="1200" cap="all" spc="50" baseline="0">
                <a:ln>
                  <a:noFill/>
                </a:ln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spc="50" baseline="0">
                <a:ln>
                  <a:noFill/>
                </a:ln>
                <a:solidFill>
                  <a:srgbClr val="1F497D"/>
                </a:solidFill>
                <a:latin typeface="+mn-lt"/>
                <a:ea typeface="+mn-ea"/>
                <a:cs typeface="+mn-cs"/>
              </a:rPr>
              <a:t>vs</a:t>
            </a:r>
          </a:p>
          <a:p>
            <a:pPr algn="ctr" rtl="0">
              <a:defRPr lang="en-US" sz="1600" b="1" i="0" u="none" strike="noStrike" kern="1200" cap="all" spc="50" baseline="0">
                <a:ln>
                  <a:noFill/>
                </a:ln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spc="50" baseline="0">
                <a:ln>
                  <a:noFill/>
                </a:ln>
                <a:solidFill>
                  <a:srgbClr val="1F497D"/>
                </a:solidFill>
                <a:latin typeface="+mn-lt"/>
                <a:ea typeface="+mn-ea"/>
                <a:cs typeface="+mn-cs"/>
              </a:rPr>
              <a:t> Length of Stay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cap="all" spc="50" baseline="0">
              <a:ln>
                <a:noFill/>
              </a:ln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Q4_By_Stay_Duration!$C$1</c:f>
              <c:strCache>
                <c:ptCount val="1"/>
                <c:pt idx="0">
                  <c:v>early_readmission_rate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Q4_By_Stay_Duration!$C$2:$C$15</c:f>
              <c:numCache>
                <c:formatCode>General</c:formatCode>
                <c:ptCount val="14"/>
                <c:pt idx="0">
                  <c:v>8.18</c:v>
                </c:pt>
                <c:pt idx="1">
                  <c:v>9.94</c:v>
                </c:pt>
                <c:pt idx="2">
                  <c:v>10.67</c:v>
                </c:pt>
                <c:pt idx="3">
                  <c:v>11.81</c:v>
                </c:pt>
                <c:pt idx="4">
                  <c:v>12.03</c:v>
                </c:pt>
                <c:pt idx="5">
                  <c:v>12.59</c:v>
                </c:pt>
                <c:pt idx="6">
                  <c:v>12.83</c:v>
                </c:pt>
                <c:pt idx="7">
                  <c:v>14.23</c:v>
                </c:pt>
                <c:pt idx="8">
                  <c:v>13.72</c:v>
                </c:pt>
                <c:pt idx="9">
                  <c:v>14.35</c:v>
                </c:pt>
                <c:pt idx="10">
                  <c:v>10.51</c:v>
                </c:pt>
                <c:pt idx="11">
                  <c:v>13.33</c:v>
                </c:pt>
                <c:pt idx="12">
                  <c:v>12.31</c:v>
                </c:pt>
                <c:pt idx="13">
                  <c:v>12.96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E4-4564-B520-99803EE00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252640"/>
        <c:axId val="928255520"/>
      </c:lineChart>
      <c:catAx>
        <c:axId val="9282526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55520"/>
        <c:crosses val="autoZero"/>
        <c:auto val="1"/>
        <c:lblAlgn val="ctr"/>
        <c:lblOffset val="100"/>
        <c:noMultiLvlLbl val="0"/>
      </c:catAx>
      <c:valAx>
        <c:axId val="92825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5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cap="all" spc="50" baseline="0">
                <a:ln>
                  <a:noFill/>
                </a:ln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spc="50" baseline="0">
                <a:ln>
                  <a:noFill/>
                </a:ln>
                <a:solidFill>
                  <a:srgbClr val="1F497D"/>
                </a:solidFill>
                <a:latin typeface="+mn-lt"/>
                <a:ea typeface="+mn-ea"/>
                <a:cs typeface="+mn-cs"/>
              </a:rPr>
              <a:t>Readmission Rate by Lab Procedures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cap="all" spc="50" baseline="0">
              <a:ln>
                <a:noFill/>
              </a:ln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Q5_By_Lab_Procedures!$C$1</c:f>
              <c:strCache>
                <c:ptCount val="1"/>
                <c:pt idx="0">
                  <c:v>early_readmission_rate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Q5_By_Lab_Procedures!$A$2:$A$4</c:f>
              <c:strCache>
                <c:ptCount val="3"/>
                <c:pt idx="0">
                  <c:v>Low (1-20)</c:v>
                </c:pt>
                <c:pt idx="1">
                  <c:v>Medium (21-50)</c:v>
                </c:pt>
                <c:pt idx="2">
                  <c:v>High (50+)</c:v>
                </c:pt>
              </c:strCache>
            </c:strRef>
          </c:cat>
          <c:val>
            <c:numRef>
              <c:f>Q5_By_Lab_Procedures!$C$2:$C$4</c:f>
              <c:numCache>
                <c:formatCode>General</c:formatCode>
                <c:ptCount val="3"/>
                <c:pt idx="0">
                  <c:v>9.86</c:v>
                </c:pt>
                <c:pt idx="1">
                  <c:v>11.05</c:v>
                </c:pt>
                <c:pt idx="2">
                  <c:v>11.82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E-478F-A352-489170538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28232480"/>
        <c:axId val="928232960"/>
      </c:barChart>
      <c:catAx>
        <c:axId val="92823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32960"/>
        <c:crosses val="autoZero"/>
        <c:auto val="1"/>
        <c:lblAlgn val="ctr"/>
        <c:lblOffset val="100"/>
        <c:noMultiLvlLbl val="0"/>
      </c:catAx>
      <c:valAx>
        <c:axId val="928232960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3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8</xdr:row>
      <xdr:rowOff>140969</xdr:rowOff>
    </xdr:from>
    <xdr:to>
      <xdr:col>6</xdr:col>
      <xdr:colOff>86810</xdr:colOff>
      <xdr:row>23</xdr:row>
      <xdr:rowOff>183264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DAEE87-A680-6C83-4ED7-593BE03F1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482279</xdr:colOff>
      <xdr:row>8</xdr:row>
      <xdr:rowOff>6413</xdr:rowOff>
    </xdr:from>
    <xdr:to>
      <xdr:col>12</xdr:col>
      <xdr:colOff>316279</xdr:colOff>
      <xdr:row>25</xdr:row>
      <xdr:rowOff>38582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26D98D1-904D-7478-DA4C-B3F57A58A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405886</xdr:colOff>
      <xdr:row>25</xdr:row>
      <xdr:rowOff>1013</xdr:rowOff>
    </xdr:from>
    <xdr:to>
      <xdr:col>6</xdr:col>
      <xdr:colOff>154329</xdr:colOff>
      <xdr:row>41</xdr:row>
      <xdr:rowOff>28937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193187D-E00A-26A0-5D26-EF27CF194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102050</xdr:colOff>
      <xdr:row>25</xdr:row>
      <xdr:rowOff>38100</xdr:rowOff>
    </xdr:from>
    <xdr:to>
      <xdr:col>12</xdr:col>
      <xdr:colOff>514350</xdr:colOff>
      <xdr:row>41</xdr:row>
      <xdr:rowOff>76199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4C17546E-8EFF-C018-AACA-FD80CD025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251460</xdr:colOff>
      <xdr:row>41</xdr:row>
      <xdr:rowOff>68580</xdr:rowOff>
    </xdr:from>
    <xdr:to>
      <xdr:col>6</xdr:col>
      <xdr:colOff>457200</xdr:colOff>
      <xdr:row>56</xdr:row>
      <xdr:rowOff>171450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49ED11A0-85D0-7471-48DF-E4CB3D2CF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yak Jain" refreshedDate="46185.249620254632" createdVersion="8" refreshedVersion="8" minRefreshableVersion="3" recordCount="10" xr:uid="{89532D0F-44DC-4933-BE30-8A832B54C48E}">
  <cacheSource type="worksheet">
    <worksheetSource ref="A1:D11" sheet="Excel Analysis"/>
  </cacheSource>
  <cacheFields count="4">
    <cacheField name="age" numFmtId="0">
      <sharedItems count="10">
        <s v="[0-10)"/>
        <s v="[10-20)"/>
        <s v="[20-30)"/>
        <s v="[30-40)"/>
        <s v="[40-50)"/>
        <s v="[50-60)"/>
        <s v="[60-70)"/>
        <s v="[70-80)"/>
        <s v="[80-90)"/>
        <s v="[90-100)"/>
      </sharedItems>
    </cacheField>
    <cacheField name="total_patients" numFmtId="0">
      <sharedItems containsSemiMixedTypes="0" containsString="0" containsNumber="1" containsInteger="1" minValue="161" maxValue="26068"/>
    </cacheField>
    <cacheField name="early_readmissions" numFmtId="0">
      <sharedItems containsSemiMixedTypes="0" containsString="0" containsNumber="1" containsInteger="1" minValue="3" maxValue="3069"/>
    </cacheField>
    <cacheField name="early_readmission_rate" numFmtId="0">
      <sharedItems containsSemiMixedTypes="0" containsString="0" containsNumber="1" minValue="1.86" maxValue="14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61"/>
    <n v="3"/>
    <n v="1.86"/>
  </r>
  <r>
    <x v="1"/>
    <n v="691"/>
    <n v="40"/>
    <n v="5.79"/>
  </r>
  <r>
    <x v="2"/>
    <n v="1657"/>
    <n v="236"/>
    <n v="14.24"/>
  </r>
  <r>
    <x v="3"/>
    <n v="3775"/>
    <n v="424"/>
    <n v="11.23"/>
  </r>
  <r>
    <x v="4"/>
    <n v="9685"/>
    <n v="1027"/>
    <n v="10.6"/>
  </r>
  <r>
    <x v="5"/>
    <n v="17256"/>
    <n v="1668"/>
    <n v="9.67"/>
  </r>
  <r>
    <x v="6"/>
    <n v="22483"/>
    <n v="2502"/>
    <n v="11.13"/>
  </r>
  <r>
    <x v="7"/>
    <n v="26068"/>
    <n v="3069"/>
    <n v="11.77"/>
  </r>
  <r>
    <x v="8"/>
    <n v="17197"/>
    <n v="2078"/>
    <n v="12.08"/>
  </r>
  <r>
    <x v="9"/>
    <n v="2793"/>
    <n v="310"/>
    <n v="11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68F6D-811F-42C6-9065-5C5917EAE719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1" firstHeaderRow="0" firstDataRow="1" firstDataCol="1"/>
  <pivotFields count="4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atients" fld="1" baseField="0" baseItem="0"/>
    <dataField name="Sum of early_readmission_rat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E811-2283-4663-8BD3-6601046BE2EE}">
  <sheetPr>
    <pageSetUpPr fitToPage="1"/>
  </sheetPr>
  <dimension ref="A1:N57"/>
  <sheetViews>
    <sheetView showGridLines="0" zoomScale="40" zoomScaleNormal="40" workbookViewId="0">
      <selection activeCell="AN40" sqref="AN40"/>
    </sheetView>
  </sheetViews>
  <sheetFormatPr defaultRowHeight="14.4"/>
  <cols>
    <col min="3" max="3" width="8.6640625" customWidth="1"/>
    <col min="4" max="4" width="9.77734375" customWidth="1"/>
  </cols>
  <sheetData>
    <row r="1" spans="1:14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4"/>
    </row>
    <row r="2" spans="1:14" ht="25.8">
      <c r="A2" s="11"/>
      <c r="B2" s="11"/>
      <c r="C2" s="13" t="s">
        <v>29</v>
      </c>
      <c r="D2" s="12"/>
      <c r="E2" s="12"/>
      <c r="F2" s="12"/>
      <c r="G2" s="12"/>
      <c r="H2" s="12"/>
      <c r="I2" s="12"/>
      <c r="J2" s="12"/>
      <c r="K2" s="12"/>
      <c r="L2" s="12"/>
      <c r="M2" s="11"/>
      <c r="N2" s="14"/>
    </row>
    <row r="4" spans="1:14">
      <c r="B4" s="2" t="s">
        <v>30</v>
      </c>
      <c r="C4" s="2"/>
      <c r="D4" s="2"/>
      <c r="F4" s="2" t="s">
        <v>31</v>
      </c>
      <c r="G4" s="2"/>
      <c r="H4" s="2"/>
      <c r="I4" s="4"/>
      <c r="J4" s="2" t="s">
        <v>32</v>
      </c>
      <c r="K4" s="2"/>
      <c r="L4" s="2"/>
    </row>
    <row r="5" spans="1:14">
      <c r="B5" s="1"/>
      <c r="C5" s="1"/>
      <c r="D5" s="1"/>
      <c r="F5" s="3"/>
      <c r="G5" s="3"/>
      <c r="H5" s="3"/>
      <c r="I5" s="4"/>
      <c r="J5" s="3"/>
      <c r="K5" s="3"/>
      <c r="L5" s="3"/>
    </row>
    <row r="6" spans="1:14" s="5" customFormat="1" ht="28.8">
      <c r="B6" s="6">
        <v>101766</v>
      </c>
      <c r="C6" s="6"/>
      <c r="D6" s="6"/>
      <c r="E6" s="7"/>
      <c r="F6" s="8">
        <v>0.1116</v>
      </c>
      <c r="G6" s="8"/>
      <c r="H6" s="8"/>
      <c r="I6" s="9"/>
      <c r="J6" s="10">
        <v>0.46089999999999998</v>
      </c>
      <c r="K6" s="10"/>
      <c r="L6" s="10"/>
    </row>
    <row r="43" spans="8:13">
      <c r="H43" s="15" t="s">
        <v>33</v>
      </c>
      <c r="I43" s="16"/>
      <c r="J43" s="16"/>
      <c r="K43" s="16"/>
      <c r="L43" s="16"/>
      <c r="M43" s="16"/>
    </row>
    <row r="44" spans="8:13">
      <c r="H44" s="16"/>
      <c r="I44" s="16"/>
      <c r="J44" s="16"/>
      <c r="K44" s="16"/>
      <c r="L44" s="16"/>
      <c r="M44" s="16"/>
    </row>
    <row r="45" spans="8:13">
      <c r="H45" s="16"/>
      <c r="I45" s="16"/>
      <c r="J45" s="16"/>
      <c r="K45" s="16"/>
      <c r="L45" s="16"/>
      <c r="M45" s="16"/>
    </row>
    <row r="46" spans="8:13">
      <c r="H46" s="16"/>
      <c r="I46" s="16"/>
      <c r="J46" s="16"/>
      <c r="K46" s="16"/>
      <c r="L46" s="16"/>
      <c r="M46" s="16"/>
    </row>
    <row r="47" spans="8:13">
      <c r="H47" s="16"/>
      <c r="I47" s="16"/>
      <c r="J47" s="16"/>
      <c r="K47" s="16"/>
      <c r="L47" s="16"/>
      <c r="M47" s="16"/>
    </row>
    <row r="48" spans="8:13">
      <c r="H48" s="16"/>
      <c r="I48" s="16"/>
      <c r="J48" s="16"/>
      <c r="K48" s="16"/>
      <c r="L48" s="16"/>
      <c r="M48" s="16"/>
    </row>
    <row r="49" spans="8:13">
      <c r="H49" s="16"/>
      <c r="I49" s="16"/>
      <c r="J49" s="16"/>
      <c r="K49" s="16"/>
      <c r="L49" s="16"/>
      <c r="M49" s="16"/>
    </row>
    <row r="50" spans="8:13">
      <c r="H50" s="16"/>
      <c r="I50" s="16"/>
      <c r="J50" s="16"/>
      <c r="K50" s="16"/>
      <c r="L50" s="16"/>
      <c r="M50" s="16"/>
    </row>
    <row r="51" spans="8:13">
      <c r="H51" s="16"/>
      <c r="I51" s="16"/>
      <c r="J51" s="16"/>
      <c r="K51" s="16"/>
      <c r="L51" s="16"/>
      <c r="M51" s="16"/>
    </row>
    <row r="52" spans="8:13">
      <c r="H52" s="16"/>
      <c r="I52" s="16"/>
      <c r="J52" s="16"/>
      <c r="K52" s="16"/>
      <c r="L52" s="16"/>
      <c r="M52" s="16"/>
    </row>
    <row r="53" spans="8:13">
      <c r="H53" s="16"/>
      <c r="I53" s="16"/>
      <c r="J53" s="16"/>
      <c r="K53" s="16"/>
      <c r="L53" s="16"/>
      <c r="M53" s="16"/>
    </row>
    <row r="54" spans="8:13">
      <c r="H54" s="16"/>
      <c r="I54" s="16"/>
      <c r="J54" s="16"/>
      <c r="K54" s="16"/>
      <c r="L54" s="16"/>
      <c r="M54" s="16"/>
    </row>
    <row r="55" spans="8:13">
      <c r="H55" s="16"/>
      <c r="I55" s="16"/>
      <c r="J55" s="16"/>
      <c r="K55" s="16"/>
      <c r="L55" s="16"/>
      <c r="M55" s="16"/>
    </row>
    <row r="56" spans="8:13">
      <c r="H56" s="16"/>
      <c r="I56" s="16"/>
      <c r="J56" s="16"/>
      <c r="K56" s="16"/>
      <c r="L56" s="16"/>
      <c r="M56" s="16"/>
    </row>
    <row r="57" spans="8:13">
      <c r="H57" s="16"/>
      <c r="I57" s="16"/>
      <c r="J57" s="16"/>
      <c r="K57" s="16"/>
      <c r="L57" s="16"/>
      <c r="M57" s="16"/>
    </row>
  </sheetData>
  <mergeCells count="8">
    <mergeCell ref="B6:D6"/>
    <mergeCell ref="H43:M57"/>
    <mergeCell ref="C2:L2"/>
    <mergeCell ref="J4:L4"/>
    <mergeCell ref="J6:L6"/>
    <mergeCell ref="F4:H4"/>
    <mergeCell ref="F6:H6"/>
    <mergeCell ref="B4:D4"/>
  </mergeCells>
  <pageMargins left="0.25" right="0.25" top="0.75" bottom="0.75" header="0.3" footer="0.3"/>
  <pageSetup paperSize="72" scale="7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E9E3-3048-4B14-AC91-2E659383EEBB}">
  <dimension ref="A1:N31"/>
  <sheetViews>
    <sheetView tabSelected="1" zoomScale="69" workbookViewId="0">
      <selection activeCell="D37" sqref="D37"/>
    </sheetView>
  </sheetViews>
  <sheetFormatPr defaultRowHeight="14.4"/>
  <cols>
    <col min="1" max="1" width="12.5546875" bestFit="1" customWidth="1"/>
    <col min="2" max="2" width="20.5546875" bestFit="1" customWidth="1"/>
    <col min="3" max="3" width="27.44140625" bestFit="1" customWidth="1"/>
    <col min="4" max="4" width="22.44140625" bestFit="1" customWidth="1"/>
    <col min="7" max="7" width="18" bestFit="1" customWidth="1"/>
    <col min="8" max="8" width="13.44140625" bestFit="1" customWidth="1"/>
    <col min="9" max="9" width="22.44140625" bestFit="1" customWidth="1"/>
    <col min="12" max="12" width="16.21875" bestFit="1" customWidth="1"/>
    <col min="13" max="13" width="13.44140625" bestFit="1" customWidth="1"/>
    <col min="14" max="14" width="22.44140625" bestFit="1" customWidth="1"/>
    <col min="16" max="16" width="13" bestFit="1" customWidth="1"/>
    <col min="20" max="20" width="12.5546875" bestFit="1" customWidth="1"/>
  </cols>
  <sheetData>
    <row r="1" spans="1:14">
      <c r="A1" s="21" t="s">
        <v>6</v>
      </c>
      <c r="B1" s="21" t="s">
        <v>7</v>
      </c>
      <c r="C1" s="21" t="s">
        <v>8</v>
      </c>
      <c r="D1" s="21" t="s">
        <v>9</v>
      </c>
      <c r="E1" s="22" t="s">
        <v>38</v>
      </c>
      <c r="G1" s="20"/>
      <c r="H1" s="20"/>
      <c r="I1" s="20"/>
      <c r="L1" s="20"/>
      <c r="M1" s="20"/>
      <c r="N1" s="20"/>
    </row>
    <row r="2" spans="1:14">
      <c r="A2" s="21" t="s">
        <v>10</v>
      </c>
      <c r="B2" s="21">
        <v>161</v>
      </c>
      <c r="C2" s="21">
        <v>3</v>
      </c>
      <c r="D2" s="21">
        <v>1.86</v>
      </c>
      <c r="E2" s="21" t="str">
        <f>IF(D2&gt;12,"HIGH",IF(D2&gt;=10,"MEDIUM","LOW"))</f>
        <v>LOW</v>
      </c>
      <c r="G2" s="20"/>
      <c r="H2" s="20"/>
      <c r="I2" s="20"/>
      <c r="L2" s="20"/>
      <c r="M2" s="20"/>
      <c r="N2" s="20"/>
    </row>
    <row r="3" spans="1:14">
      <c r="A3" s="21" t="s">
        <v>11</v>
      </c>
      <c r="B3" s="21">
        <v>691</v>
      </c>
      <c r="C3" s="21">
        <v>40</v>
      </c>
      <c r="D3" s="21">
        <v>5.79</v>
      </c>
      <c r="E3" s="21" t="str">
        <f t="shared" ref="E3:E11" si="0">IF(D3&gt;12,"HIGH",IF(D3&gt;=10,"MEDIUM","LOW"))</f>
        <v>LOW</v>
      </c>
      <c r="G3" s="20"/>
      <c r="H3" s="20"/>
      <c r="I3" s="20"/>
      <c r="L3" s="20"/>
      <c r="M3" s="20"/>
      <c r="N3" s="20"/>
    </row>
    <row r="4" spans="1:14">
      <c r="A4" s="21" t="s">
        <v>12</v>
      </c>
      <c r="B4" s="21">
        <v>1657</v>
      </c>
      <c r="C4" s="21">
        <v>236</v>
      </c>
      <c r="D4" s="21">
        <v>14.24</v>
      </c>
      <c r="E4" s="21" t="str">
        <f t="shared" si="0"/>
        <v>HIGH</v>
      </c>
      <c r="G4" s="20"/>
      <c r="H4" s="20"/>
      <c r="I4" s="20"/>
      <c r="L4" s="20"/>
      <c r="M4" s="20"/>
      <c r="N4" s="20"/>
    </row>
    <row r="5" spans="1:14">
      <c r="A5" s="21" t="s">
        <v>13</v>
      </c>
      <c r="B5" s="21">
        <v>3775</v>
      </c>
      <c r="C5" s="21">
        <v>424</v>
      </c>
      <c r="D5" s="21">
        <v>11.23</v>
      </c>
      <c r="E5" s="21" t="str">
        <f t="shared" si="0"/>
        <v>MEDIUM</v>
      </c>
      <c r="L5" s="20"/>
      <c r="M5" s="20"/>
      <c r="N5" s="20"/>
    </row>
    <row r="6" spans="1:14">
      <c r="A6" s="21" t="s">
        <v>14</v>
      </c>
      <c r="B6" s="21">
        <v>9685</v>
      </c>
      <c r="C6" s="21">
        <v>1027</v>
      </c>
      <c r="D6" s="21">
        <v>10.6</v>
      </c>
      <c r="E6" s="21" t="str">
        <f t="shared" si="0"/>
        <v>MEDIUM</v>
      </c>
      <c r="L6" s="20"/>
      <c r="M6" s="20"/>
      <c r="N6" s="20"/>
    </row>
    <row r="7" spans="1:14">
      <c r="A7" s="21" t="s">
        <v>15</v>
      </c>
      <c r="B7" s="21">
        <v>17256</v>
      </c>
      <c r="C7" s="21">
        <v>1668</v>
      </c>
      <c r="D7" s="21">
        <v>9.67</v>
      </c>
      <c r="E7" s="21" t="str">
        <f t="shared" si="0"/>
        <v>LOW</v>
      </c>
      <c r="L7" s="20"/>
      <c r="M7" s="20"/>
      <c r="N7" s="20"/>
    </row>
    <row r="8" spans="1:14">
      <c r="A8" s="21" t="s">
        <v>16</v>
      </c>
      <c r="B8" s="21">
        <v>22483</v>
      </c>
      <c r="C8" s="21">
        <v>2502</v>
      </c>
      <c r="D8" s="21">
        <v>11.13</v>
      </c>
      <c r="E8" s="21" t="str">
        <f t="shared" si="0"/>
        <v>MEDIUM</v>
      </c>
      <c r="L8" s="20"/>
      <c r="M8" s="20"/>
      <c r="N8" s="20"/>
    </row>
    <row r="9" spans="1:14">
      <c r="A9" s="21" t="s">
        <v>17</v>
      </c>
      <c r="B9" s="21">
        <v>26068</v>
      </c>
      <c r="C9" s="21">
        <v>3069</v>
      </c>
      <c r="D9" s="21">
        <v>11.77</v>
      </c>
      <c r="E9" s="21" t="str">
        <f t="shared" si="0"/>
        <v>MEDIUM</v>
      </c>
      <c r="L9" s="20"/>
      <c r="M9" s="20"/>
      <c r="N9" s="20"/>
    </row>
    <row r="10" spans="1:14">
      <c r="A10" s="21" t="s">
        <v>18</v>
      </c>
      <c r="B10" s="21">
        <v>17197</v>
      </c>
      <c r="C10" s="21">
        <v>2078</v>
      </c>
      <c r="D10" s="21">
        <v>12.08</v>
      </c>
      <c r="E10" s="21" t="str">
        <f t="shared" si="0"/>
        <v>HIGH</v>
      </c>
      <c r="L10" s="20"/>
      <c r="M10" s="20"/>
      <c r="N10" s="20"/>
    </row>
    <row r="11" spans="1:14">
      <c r="A11" s="21" t="s">
        <v>19</v>
      </c>
      <c r="B11" s="21">
        <v>2793</v>
      </c>
      <c r="C11" s="21">
        <v>310</v>
      </c>
      <c r="D11" s="21">
        <v>11.1</v>
      </c>
      <c r="E11" s="21" t="str">
        <f t="shared" si="0"/>
        <v>MEDIUM</v>
      </c>
      <c r="L11" s="20"/>
      <c r="M11" s="20"/>
      <c r="N11" s="20"/>
    </row>
    <row r="12" spans="1:14">
      <c r="L12" s="20"/>
      <c r="M12" s="20"/>
      <c r="N12" s="20"/>
    </row>
    <row r="13" spans="1:14">
      <c r="B13" s="24" t="s">
        <v>39</v>
      </c>
      <c r="C13" s="23" t="str">
        <f>INDEX(A2:A11,MATCH(MAX(D2:D11),D2:D11,0))</f>
        <v>[20-30)</v>
      </c>
      <c r="L13" s="20"/>
      <c r="M13" s="20"/>
      <c r="N13" s="20"/>
    </row>
    <row r="14" spans="1:14">
      <c r="B14" s="24" t="s">
        <v>40</v>
      </c>
      <c r="C14" s="21">
        <f>COUNTIF(E2:E11,"HIGH")</f>
        <v>2</v>
      </c>
      <c r="L14" s="20"/>
      <c r="M14" s="20"/>
      <c r="N14" s="20"/>
    </row>
    <row r="15" spans="1:14">
      <c r="B15" s="24" t="s">
        <v>41</v>
      </c>
      <c r="C15" s="21">
        <f>AVERAGE(D2:D11)</f>
        <v>9.9469999999999992</v>
      </c>
      <c r="L15" s="20"/>
      <c r="M15" s="20"/>
      <c r="N15" s="20"/>
    </row>
    <row r="20" spans="1:3">
      <c r="A20" s="17" t="s">
        <v>34</v>
      </c>
      <c r="B20" t="s">
        <v>36</v>
      </c>
      <c r="C20" t="s">
        <v>37</v>
      </c>
    </row>
    <row r="21" spans="1:3">
      <c r="A21" s="18" t="s">
        <v>10</v>
      </c>
      <c r="B21" s="19">
        <v>161</v>
      </c>
      <c r="C21" s="19">
        <v>1.86</v>
      </c>
    </row>
    <row r="22" spans="1:3">
      <c r="A22" s="18" t="s">
        <v>11</v>
      </c>
      <c r="B22" s="19">
        <v>691</v>
      </c>
      <c r="C22" s="19">
        <v>5.79</v>
      </c>
    </row>
    <row r="23" spans="1:3">
      <c r="A23" s="18" t="s">
        <v>12</v>
      </c>
      <c r="B23" s="19">
        <v>1657</v>
      </c>
      <c r="C23" s="19">
        <v>14.24</v>
      </c>
    </row>
    <row r="24" spans="1:3">
      <c r="A24" s="18" t="s">
        <v>13</v>
      </c>
      <c r="B24" s="19">
        <v>3775</v>
      </c>
      <c r="C24" s="19">
        <v>11.23</v>
      </c>
    </row>
    <row r="25" spans="1:3">
      <c r="A25" s="18" t="s">
        <v>14</v>
      </c>
      <c r="B25" s="19">
        <v>9685</v>
      </c>
      <c r="C25" s="19">
        <v>10.6</v>
      </c>
    </row>
    <row r="26" spans="1:3">
      <c r="A26" s="18" t="s">
        <v>15</v>
      </c>
      <c r="B26" s="19">
        <v>17256</v>
      </c>
      <c r="C26" s="19">
        <v>9.67</v>
      </c>
    </row>
    <row r="27" spans="1:3">
      <c r="A27" s="18" t="s">
        <v>16</v>
      </c>
      <c r="B27" s="19">
        <v>22483</v>
      </c>
      <c r="C27" s="19">
        <v>11.13</v>
      </c>
    </row>
    <row r="28" spans="1:3">
      <c r="A28" s="18" t="s">
        <v>17</v>
      </c>
      <c r="B28" s="19">
        <v>26068</v>
      </c>
      <c r="C28" s="19">
        <v>11.77</v>
      </c>
    </row>
    <row r="29" spans="1:3">
      <c r="A29" s="18" t="s">
        <v>18</v>
      </c>
      <c r="B29" s="19">
        <v>17197</v>
      </c>
      <c r="C29" s="19">
        <v>12.08</v>
      </c>
    </row>
    <row r="30" spans="1:3">
      <c r="A30" s="18" t="s">
        <v>19</v>
      </c>
      <c r="B30" s="19">
        <v>2793</v>
      </c>
      <c r="C30" s="19">
        <v>11.1</v>
      </c>
    </row>
    <row r="31" spans="1:3">
      <c r="A31" s="18" t="s">
        <v>35</v>
      </c>
      <c r="B31" s="19">
        <v>101766</v>
      </c>
      <c r="C31" s="19">
        <v>99.47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sqref="A1:B4"/>
    </sheetView>
  </sheetViews>
  <sheetFormatPr defaultRowHeight="14.4"/>
  <cols>
    <col min="1" max="1" width="10" bestFit="1" customWidth="1"/>
    <col min="2" max="2" width="7.77734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54864</v>
      </c>
      <c r="C2">
        <v>53.91</v>
      </c>
    </row>
    <row r="3" spans="1:3">
      <c r="A3" t="s">
        <v>4</v>
      </c>
      <c r="B3">
        <v>35545</v>
      </c>
      <c r="C3">
        <v>34.93</v>
      </c>
    </row>
    <row r="4" spans="1:3">
      <c r="A4" t="s">
        <v>5</v>
      </c>
      <c r="B4">
        <v>11357</v>
      </c>
      <c r="C4">
        <v>11.16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sqref="A1:D11"/>
    </sheetView>
  </sheetViews>
  <sheetFormatPr defaultRowHeight="14.4"/>
  <sheetData>
    <row r="1" spans="1:4">
      <c r="A1" t="s">
        <v>6</v>
      </c>
      <c r="B1" t="s">
        <v>7</v>
      </c>
      <c r="C1" t="s">
        <v>8</v>
      </c>
      <c r="D1" t="s">
        <v>9</v>
      </c>
    </row>
    <row r="2" spans="1:4">
      <c r="A2" t="s">
        <v>10</v>
      </c>
      <c r="B2">
        <v>161</v>
      </c>
      <c r="C2">
        <v>3</v>
      </c>
      <c r="D2">
        <v>1.86</v>
      </c>
    </row>
    <row r="3" spans="1:4">
      <c r="A3" t="s">
        <v>11</v>
      </c>
      <c r="B3">
        <v>691</v>
      </c>
      <c r="C3">
        <v>40</v>
      </c>
      <c r="D3">
        <v>5.79</v>
      </c>
    </row>
    <row r="4" spans="1:4">
      <c r="A4" t="s">
        <v>12</v>
      </c>
      <c r="B4">
        <v>1657</v>
      </c>
      <c r="C4">
        <v>236</v>
      </c>
      <c r="D4">
        <v>14.24</v>
      </c>
    </row>
    <row r="5" spans="1:4">
      <c r="A5" t="s">
        <v>13</v>
      </c>
      <c r="B5">
        <v>3775</v>
      </c>
      <c r="C5">
        <v>424</v>
      </c>
      <c r="D5">
        <v>11.23</v>
      </c>
    </row>
    <row r="6" spans="1:4">
      <c r="A6" t="s">
        <v>14</v>
      </c>
      <c r="B6">
        <v>9685</v>
      </c>
      <c r="C6">
        <v>1027</v>
      </c>
      <c r="D6">
        <v>10.6</v>
      </c>
    </row>
    <row r="7" spans="1:4">
      <c r="A7" t="s">
        <v>15</v>
      </c>
      <c r="B7">
        <v>17256</v>
      </c>
      <c r="C7">
        <v>1668</v>
      </c>
      <c r="D7">
        <v>9.67</v>
      </c>
    </row>
    <row r="8" spans="1:4">
      <c r="A8" t="s">
        <v>16</v>
      </c>
      <c r="B8">
        <v>22483</v>
      </c>
      <c r="C8">
        <v>2502</v>
      </c>
      <c r="D8">
        <v>11.13</v>
      </c>
    </row>
    <row r="9" spans="1:4">
      <c r="A9" t="s">
        <v>17</v>
      </c>
      <c r="B9">
        <v>26068</v>
      </c>
      <c r="C9">
        <v>3069</v>
      </c>
      <c r="D9">
        <v>11.77</v>
      </c>
    </row>
    <row r="10" spans="1:4">
      <c r="A10" t="s">
        <v>18</v>
      </c>
      <c r="B10">
        <v>17197</v>
      </c>
      <c r="C10">
        <v>2078</v>
      </c>
      <c r="D10">
        <v>12.08</v>
      </c>
    </row>
    <row r="11" spans="1:4">
      <c r="A11" t="s">
        <v>19</v>
      </c>
      <c r="B11">
        <v>2793</v>
      </c>
      <c r="C11">
        <v>310</v>
      </c>
      <c r="D11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4"/>
    </sheetView>
  </sheetViews>
  <sheetFormatPr defaultRowHeight="14.4"/>
  <sheetData>
    <row r="1" spans="1:3">
      <c r="A1" t="s">
        <v>20</v>
      </c>
      <c r="B1" t="s">
        <v>7</v>
      </c>
      <c r="C1" t="s">
        <v>9</v>
      </c>
    </row>
    <row r="2" spans="1:3">
      <c r="A2" t="s">
        <v>21</v>
      </c>
      <c r="B2">
        <v>25861</v>
      </c>
      <c r="C2">
        <v>9.06</v>
      </c>
    </row>
    <row r="3" spans="1:3">
      <c r="A3" t="s">
        <v>22</v>
      </c>
      <c r="B3">
        <v>52025</v>
      </c>
      <c r="C3">
        <v>11.46</v>
      </c>
    </row>
    <row r="4" spans="1:3">
      <c r="A4" t="s">
        <v>23</v>
      </c>
      <c r="B4">
        <v>23880</v>
      </c>
      <c r="C4">
        <v>12.78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selection sqref="A1:C15"/>
    </sheetView>
  </sheetViews>
  <sheetFormatPr defaultRowHeight="14.4"/>
  <sheetData>
    <row r="1" spans="1:3">
      <c r="A1" t="s">
        <v>24</v>
      </c>
      <c r="B1" t="s">
        <v>7</v>
      </c>
      <c r="C1" t="s">
        <v>9</v>
      </c>
    </row>
    <row r="2" spans="1:3">
      <c r="A2">
        <v>1</v>
      </c>
      <c r="B2">
        <v>14208</v>
      </c>
      <c r="C2">
        <v>8.18</v>
      </c>
    </row>
    <row r="3" spans="1:3">
      <c r="A3">
        <v>2</v>
      </c>
      <c r="B3">
        <v>17224</v>
      </c>
      <c r="C3">
        <v>9.94</v>
      </c>
    </row>
    <row r="4" spans="1:3">
      <c r="A4">
        <v>3</v>
      </c>
      <c r="B4">
        <v>17756</v>
      </c>
      <c r="C4">
        <v>10.67</v>
      </c>
    </row>
    <row r="5" spans="1:3">
      <c r="A5">
        <v>4</v>
      </c>
      <c r="B5">
        <v>13924</v>
      </c>
      <c r="C5">
        <v>11.81</v>
      </c>
    </row>
    <row r="6" spans="1:3">
      <c r="A6">
        <v>5</v>
      </c>
      <c r="B6">
        <v>9966</v>
      </c>
      <c r="C6">
        <v>12.03</v>
      </c>
    </row>
    <row r="7" spans="1:3">
      <c r="A7">
        <v>6</v>
      </c>
      <c r="B7">
        <v>7539</v>
      </c>
      <c r="C7">
        <v>12.59</v>
      </c>
    </row>
    <row r="8" spans="1:3">
      <c r="A8">
        <v>7</v>
      </c>
      <c r="B8">
        <v>5859</v>
      </c>
      <c r="C8">
        <v>12.83</v>
      </c>
    </row>
    <row r="9" spans="1:3">
      <c r="A9">
        <v>8</v>
      </c>
      <c r="B9">
        <v>4391</v>
      </c>
      <c r="C9">
        <v>14.23</v>
      </c>
    </row>
    <row r="10" spans="1:3">
      <c r="A10">
        <v>9</v>
      </c>
      <c r="B10">
        <v>3002</v>
      </c>
      <c r="C10">
        <v>13.72</v>
      </c>
    </row>
    <row r="11" spans="1:3">
      <c r="A11">
        <v>10</v>
      </c>
      <c r="B11">
        <v>2342</v>
      </c>
      <c r="C11">
        <v>14.35</v>
      </c>
    </row>
    <row r="12" spans="1:3">
      <c r="A12">
        <v>11</v>
      </c>
      <c r="B12">
        <v>1855</v>
      </c>
      <c r="C12">
        <v>10.51</v>
      </c>
    </row>
    <row r="13" spans="1:3">
      <c r="A13">
        <v>12</v>
      </c>
      <c r="B13">
        <v>1448</v>
      </c>
      <c r="C13">
        <v>13.33</v>
      </c>
    </row>
    <row r="14" spans="1:3">
      <c r="A14">
        <v>13</v>
      </c>
      <c r="B14">
        <v>1210</v>
      </c>
      <c r="C14">
        <v>12.31</v>
      </c>
    </row>
    <row r="15" spans="1:3">
      <c r="A15">
        <v>14</v>
      </c>
      <c r="B15">
        <v>1042</v>
      </c>
      <c r="C15">
        <v>12.96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O9" sqref="O9"/>
    </sheetView>
  </sheetViews>
  <sheetFormatPr defaultRowHeight="14.4"/>
  <sheetData>
    <row r="1" spans="1:3">
      <c r="A1" t="s">
        <v>25</v>
      </c>
      <c r="B1" t="s">
        <v>7</v>
      </c>
      <c r="C1" t="s">
        <v>9</v>
      </c>
    </row>
    <row r="2" spans="1:3">
      <c r="A2" t="s">
        <v>26</v>
      </c>
      <c r="B2">
        <v>14536</v>
      </c>
      <c r="C2">
        <v>9.86</v>
      </c>
    </row>
    <row r="3" spans="1:3">
      <c r="A3" t="s">
        <v>27</v>
      </c>
      <c r="B3">
        <v>49998</v>
      </c>
      <c r="C3">
        <v>11.05</v>
      </c>
    </row>
    <row r="4" spans="1:3">
      <c r="A4" t="s">
        <v>28</v>
      </c>
      <c r="B4">
        <v>37232</v>
      </c>
      <c r="C4">
        <v>11.82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Excel Analysis</vt:lpstr>
      <vt:lpstr>Q1_Overall</vt:lpstr>
      <vt:lpstr>Q2_By_Age</vt:lpstr>
      <vt:lpstr>Q3_By_Medication</vt:lpstr>
      <vt:lpstr>Q4_By_Stay_Duration</vt:lpstr>
      <vt:lpstr>Q5_By_Lab_Procedures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Samyak Jain</cp:lastModifiedBy>
  <cp:lastPrinted>2026-06-12T00:07:53Z</cp:lastPrinted>
  <dcterms:created xsi:type="dcterms:W3CDTF">2026-06-11T18:35:30Z</dcterms:created>
  <dcterms:modified xsi:type="dcterms:W3CDTF">2026-06-12T02:05:45Z</dcterms:modified>
</cp:coreProperties>
</file>